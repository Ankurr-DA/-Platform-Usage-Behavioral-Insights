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14" i="1"/>
  <c r="F14"/>
  <c r="E14"/>
  <c r="D14"/>
  <c r="C14"/>
</calcChain>
</file>

<file path=xl/sharedStrings.xml><?xml version="1.0" encoding="utf-8"?>
<sst xmlns="http://schemas.openxmlformats.org/spreadsheetml/2006/main" count="30" uniqueCount="17">
  <si>
    <t>MOBILE APP</t>
  </si>
  <si>
    <t>BILL PAY</t>
  </si>
  <si>
    <t>IMPS</t>
  </si>
  <si>
    <t>NEFT</t>
  </si>
  <si>
    <t>UNCLASSIFIED CHANNEL</t>
  </si>
  <si>
    <t>UPI</t>
  </si>
  <si>
    <t>NET BANKING</t>
  </si>
  <si>
    <t>Channel Type</t>
  </si>
  <si>
    <t>Payment Channel</t>
  </si>
  <si>
    <t>Total Transactions</t>
  </si>
  <si>
    <t>Passed Transactions</t>
  </si>
  <si>
    <t>Failed Transactions</t>
  </si>
  <si>
    <t>Settled Volume</t>
  </si>
  <si>
    <t>Volume At Risk</t>
  </si>
  <si>
    <t>Success Rate</t>
  </si>
  <si>
    <t>Total</t>
  </si>
  <si>
    <t>transaction performance report</t>
  </si>
</sst>
</file>

<file path=xl/styles.xml><?xml version="1.0" encoding="utf-8"?>
<styleSheet xmlns="http://schemas.openxmlformats.org/spreadsheetml/2006/main">
  <numFmts count="1">
    <numFmt numFmtId="167" formatCode="&quot;₹&quot;\ #,##0"/>
  </numFmts>
  <fonts count="3">
    <font>
      <sz val="11"/>
      <color theme="1"/>
      <name val="Calibri"/>
      <family val="2"/>
      <scheme val="minor"/>
    </font>
    <font>
      <sz val="18"/>
      <color theme="0"/>
      <name val="Algerian"/>
      <family val="5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numFmt numFmtId="167" formatCode="&quot;₹&quot;\ #,##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₹&quot;\ #,##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14" totalsRowCount="1" headerRowDxfId="12" dataDxfId="13" headerRowBorderDxfId="19" tableBorderDxfId="20" totalsRowBorderDxfId="18">
  <autoFilter ref="A3:H13"/>
  <sortState ref="A4:H13">
    <sortCondition descending="1" ref="F3:F13"/>
  </sortState>
  <tableColumns count="8">
    <tableColumn id="1" name="Channel Type" totalsRowLabel="Total" dataDxfId="17" totalsRowDxfId="11"/>
    <tableColumn id="2" name="Payment Channel" dataDxfId="16" totalsRowDxfId="10"/>
    <tableColumn id="3" name="Total Transactions" totalsRowFunction="sum" dataDxfId="15" totalsRowDxfId="9"/>
    <tableColumn id="4" name="Passed Transactions" totalsRowFunction="sum" dataDxfId="14" totalsRowDxfId="8"/>
    <tableColumn id="5" name="Failed Transactions" totalsRowFunction="sum" dataDxfId="3" totalsRowDxfId="7"/>
    <tableColumn id="6" name="Settled Volume" totalsRowFunction="sum" dataDxfId="2" totalsRowDxfId="6"/>
    <tableColumn id="7" name="Volume At Risk" totalsRowFunction="sum" dataDxfId="0" totalsRowDxfId="5"/>
    <tableColumn id="8" name="Success Rate" dataDxfId="1" totalsRowDxfId="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zoomScale="110" zoomScaleNormal="110" workbookViewId="0">
      <selection activeCell="D17" sqref="D17"/>
    </sheetView>
  </sheetViews>
  <sheetFormatPr defaultRowHeight="15"/>
  <cols>
    <col min="1" max="1" width="17.5703125" bestFit="1" customWidth="1"/>
    <col min="2" max="2" width="23.140625" bestFit="1" customWidth="1"/>
    <col min="3" max="3" width="21.5703125" bestFit="1" customWidth="1"/>
    <col min="4" max="4" width="23.28515625" bestFit="1" customWidth="1"/>
    <col min="5" max="5" width="22.5703125" bestFit="1" customWidth="1"/>
    <col min="6" max="6" width="19.42578125" bestFit="1" customWidth="1"/>
    <col min="7" max="7" width="19" bestFit="1" customWidth="1"/>
    <col min="8" max="8" width="17.7109375" customWidth="1"/>
  </cols>
  <sheetData>
    <row r="1" spans="1:8">
      <c r="A1" s="14" t="s">
        <v>16</v>
      </c>
      <c r="B1" s="15"/>
      <c r="C1" s="15"/>
      <c r="D1" s="15"/>
      <c r="E1" s="15"/>
      <c r="F1" s="15"/>
      <c r="G1" s="15"/>
      <c r="H1" s="15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6" t="s">
        <v>14</v>
      </c>
    </row>
    <row r="4" spans="1:8">
      <c r="A4" s="2" t="s">
        <v>0</v>
      </c>
      <c r="B4" s="1" t="s">
        <v>2</v>
      </c>
      <c r="C4" s="1">
        <v>803</v>
      </c>
      <c r="D4" s="1">
        <v>663</v>
      </c>
      <c r="E4" s="1">
        <v>140</v>
      </c>
      <c r="F4" s="10">
        <v>1078971.42</v>
      </c>
      <c r="G4" s="10">
        <v>233701.18</v>
      </c>
      <c r="H4" s="3">
        <v>0.82569999999999999</v>
      </c>
    </row>
    <row r="5" spans="1:8">
      <c r="A5" s="2" t="s">
        <v>6</v>
      </c>
      <c r="B5" s="1" t="s">
        <v>1</v>
      </c>
      <c r="C5" s="1">
        <v>808</v>
      </c>
      <c r="D5" s="1">
        <v>678</v>
      </c>
      <c r="E5" s="1">
        <v>130</v>
      </c>
      <c r="F5" s="10">
        <v>963014.23</v>
      </c>
      <c r="G5" s="10">
        <v>182249.51</v>
      </c>
      <c r="H5" s="3">
        <v>0.83909999999999996</v>
      </c>
    </row>
    <row r="6" spans="1:8">
      <c r="A6" s="2" t="s">
        <v>6</v>
      </c>
      <c r="B6" s="1" t="s">
        <v>3</v>
      </c>
      <c r="C6" s="1">
        <v>794</v>
      </c>
      <c r="D6" s="1">
        <v>681</v>
      </c>
      <c r="E6" s="1">
        <v>113</v>
      </c>
      <c r="F6" s="10">
        <v>845232.6</v>
      </c>
      <c r="G6" s="10">
        <v>122247.66</v>
      </c>
      <c r="H6" s="3">
        <v>0.85770000000000002</v>
      </c>
    </row>
    <row r="7" spans="1:8">
      <c r="A7" s="2" t="s">
        <v>0</v>
      </c>
      <c r="B7" s="1" t="s">
        <v>5</v>
      </c>
      <c r="C7" s="1">
        <v>727</v>
      </c>
      <c r="D7" s="1">
        <v>603</v>
      </c>
      <c r="E7" s="1">
        <v>124</v>
      </c>
      <c r="F7" s="10">
        <v>811790.71</v>
      </c>
      <c r="G7" s="10">
        <v>200088.38</v>
      </c>
      <c r="H7" s="3">
        <v>0.82940000000000003</v>
      </c>
    </row>
    <row r="8" spans="1:8">
      <c r="A8" s="2" t="s">
        <v>0</v>
      </c>
      <c r="B8" s="1" t="s">
        <v>1</v>
      </c>
      <c r="C8" s="1">
        <v>375</v>
      </c>
      <c r="D8" s="1">
        <v>326</v>
      </c>
      <c r="E8" s="1">
        <v>49</v>
      </c>
      <c r="F8" s="10">
        <v>470222.09</v>
      </c>
      <c r="G8" s="10">
        <v>60213.33</v>
      </c>
      <c r="H8" s="3">
        <v>0.86929999999999996</v>
      </c>
    </row>
    <row r="9" spans="1:8">
      <c r="A9" s="2" t="s">
        <v>6</v>
      </c>
      <c r="B9" s="1" t="s">
        <v>2</v>
      </c>
      <c r="C9" s="1">
        <v>338</v>
      </c>
      <c r="D9" s="1">
        <v>279</v>
      </c>
      <c r="E9" s="1">
        <v>59</v>
      </c>
      <c r="F9" s="10">
        <v>394545.88</v>
      </c>
      <c r="G9" s="10">
        <v>79573.59</v>
      </c>
      <c r="H9" s="3">
        <v>0.82540000000000002</v>
      </c>
    </row>
    <row r="10" spans="1:8">
      <c r="A10" s="2" t="s">
        <v>0</v>
      </c>
      <c r="B10" s="1" t="s">
        <v>3</v>
      </c>
      <c r="C10" s="1">
        <v>322</v>
      </c>
      <c r="D10" s="1">
        <v>274</v>
      </c>
      <c r="E10" s="1">
        <v>48</v>
      </c>
      <c r="F10" s="10">
        <v>326212.59000000003</v>
      </c>
      <c r="G10" s="10">
        <v>82398.92</v>
      </c>
      <c r="H10" s="3">
        <v>0.85089999999999999</v>
      </c>
    </row>
    <row r="11" spans="1:8">
      <c r="A11" s="2" t="s">
        <v>6</v>
      </c>
      <c r="B11" s="1" t="s">
        <v>5</v>
      </c>
      <c r="C11" s="1">
        <v>321</v>
      </c>
      <c r="D11" s="1">
        <v>264</v>
      </c>
      <c r="E11" s="1">
        <v>57</v>
      </c>
      <c r="F11" s="10">
        <v>316826.68</v>
      </c>
      <c r="G11" s="10">
        <v>72337.19</v>
      </c>
      <c r="H11" s="3">
        <v>0.82240000000000002</v>
      </c>
    </row>
    <row r="12" spans="1:8">
      <c r="A12" s="2" t="s">
        <v>0</v>
      </c>
      <c r="B12" s="12" t="s">
        <v>4</v>
      </c>
      <c r="C12" s="1">
        <v>36</v>
      </c>
      <c r="D12" s="1">
        <v>28</v>
      </c>
      <c r="E12" s="1">
        <v>8</v>
      </c>
      <c r="F12" s="10">
        <v>29953.17</v>
      </c>
      <c r="G12" s="10">
        <v>9875.9599999999991</v>
      </c>
      <c r="H12" s="3">
        <v>0.77780000000000005</v>
      </c>
    </row>
    <row r="13" spans="1:8">
      <c r="A13" s="7" t="s">
        <v>6</v>
      </c>
      <c r="B13" s="13" t="s">
        <v>4</v>
      </c>
      <c r="C13" s="8">
        <v>31</v>
      </c>
      <c r="D13" s="8">
        <v>21</v>
      </c>
      <c r="E13" s="8">
        <v>10</v>
      </c>
      <c r="F13" s="11">
        <v>29887.040000000001</v>
      </c>
      <c r="G13" s="11">
        <v>11311.28</v>
      </c>
      <c r="H13" s="9">
        <v>0.6774</v>
      </c>
    </row>
    <row r="14" spans="1:8">
      <c r="A14" s="7" t="s">
        <v>15</v>
      </c>
      <c r="B14" s="8"/>
      <c r="C14" s="8">
        <f>SUBTOTAL(109,[Total Transactions])</f>
        <v>4555</v>
      </c>
      <c r="D14" s="8">
        <f>SUBTOTAL(109,[Passed Transactions])</f>
        <v>3817</v>
      </c>
      <c r="E14" s="8">
        <f>SUBTOTAL(109,[Failed Transactions])</f>
        <v>738</v>
      </c>
      <c r="F14" s="11">
        <f>SUBTOTAL(109,[Settled Volume])</f>
        <v>5266656.4099999992</v>
      </c>
      <c r="G14" s="11">
        <f>SUBTOTAL(109,[Volume At Risk])</f>
        <v>1053997</v>
      </c>
      <c r="H14" s="9"/>
    </row>
  </sheetData>
  <mergeCells count="1">
    <mergeCell ref="A1:H2"/>
  </mergeCells>
  <conditionalFormatting sqref="F4:F13">
    <cfRule type="colorScale" priority="4">
      <colorScale>
        <cfvo type="min" val="0"/>
        <cfvo type="max" val="0"/>
        <color rgb="FFFFEF9C"/>
        <color rgb="FF63BE7B"/>
      </colorScale>
    </cfRule>
  </conditionalFormatting>
  <conditionalFormatting sqref="G4:G13">
    <cfRule type="colorScale" priority="3">
      <colorScale>
        <cfvo type="min" val="0"/>
        <cfvo type="max" val="0"/>
        <color rgb="FFFFEF9C"/>
        <color rgb="FFFF7128"/>
      </colorScale>
    </cfRule>
  </conditionalFormatting>
  <conditionalFormatting sqref="H4:H13">
    <cfRule type="dataBar" priority="1">
      <dataBar>
        <cfvo type="min" val="0"/>
        <cfvo type="max" val="0"/>
        <color rgb="FF63C384"/>
      </dataBar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2026-08-05T21:11:18Z</dcterms:created>
  <dcterms:modified xsi:type="dcterms:W3CDTF">2026-08-06T08:46:28Z</dcterms:modified>
</cp:coreProperties>
</file>